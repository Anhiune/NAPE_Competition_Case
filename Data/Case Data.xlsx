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00721837/Desktop/"/>
    </mc:Choice>
  </mc:AlternateContent>
  <xr:revisionPtr revIDLastSave="0" documentId="13_ncr:1_{8C54F85E-5230-1E48-ACA0-730E846FDDCF}" xr6:coauthVersionLast="47" xr6:coauthVersionMax="47" xr10:uidLastSave="{00000000-0000-0000-0000-000000000000}"/>
  <bookViews>
    <workbookView xWindow="0" yWindow="760" windowWidth="34560" windowHeight="20400" xr2:uid="{C67787D8-095B-4346-8CE1-6E2472697C88}"/>
  </bookViews>
  <sheets>
    <sheet name="NAPE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H19" i="1"/>
  <c r="F19" i="1"/>
  <c r="E19" i="1"/>
</calcChain>
</file>

<file path=xl/sharedStrings.xml><?xml version="1.0" encoding="utf-8"?>
<sst xmlns="http://schemas.openxmlformats.org/spreadsheetml/2006/main" count="43" uniqueCount="37">
  <si>
    <t>CCGT (Gas)</t>
  </si>
  <si>
    <t>Nuclear</t>
  </si>
  <si>
    <t>Solar</t>
  </si>
  <si>
    <t>with carbon footprint</t>
  </si>
  <si>
    <t>with storage</t>
  </si>
  <si>
    <t>New Build</t>
  </si>
  <si>
    <t>Existing</t>
  </si>
  <si>
    <t>New build</t>
  </si>
  <si>
    <t>Assumptions</t>
  </si>
  <si>
    <t>Capacity (MW)</t>
  </si>
  <si>
    <t>Capacity Factor</t>
  </si>
  <si>
    <t>Fuel Cost ($/MMBtu)</t>
  </si>
  <si>
    <t>-</t>
  </si>
  <si>
    <t>Heat Rate (Btu/kWh)</t>
  </si>
  <si>
    <t>Fixed O&amp;M ($/kW-year)</t>
  </si>
  <si>
    <t>Variable O&amp;M ($/MWh)</t>
  </si>
  <si>
    <t>O&amp;M Cost Escalation Rate (annual)</t>
  </si>
  <si>
    <t>Capital Structure</t>
  </si>
  <si>
    <t>Debt</t>
  </si>
  <si>
    <t>Cost of Debt</t>
  </si>
  <si>
    <t>Equity</t>
  </si>
  <si>
    <t>Cost of Equity</t>
  </si>
  <si>
    <t>Taxes and Tax Incentives</t>
  </si>
  <si>
    <t>Combined Tax Rate</t>
  </si>
  <si>
    <t>Economic Life (years)</t>
  </si>
  <si>
    <t>MACRS Depreciation (Year Schedule) (*)</t>
  </si>
  <si>
    <t>Carbon Emissions (lb/MWh)</t>
  </si>
  <si>
    <t>Carbon Price ($/Ton)</t>
  </si>
  <si>
    <t>Capex</t>
  </si>
  <si>
    <t>EPC Costs ($/kW)</t>
  </si>
  <si>
    <t>Additional Owner's Costs ($/kW)</t>
  </si>
  <si>
    <t>Transmission Costs ($/kW)</t>
  </si>
  <si>
    <t>Total Capital Costs ($/kW)</t>
  </si>
  <si>
    <t>Build $</t>
  </si>
  <si>
    <t>Construction time (months)</t>
  </si>
  <si>
    <t>5-year MACRS Depreciation Annual Schedule: Year 1: 20%, Year 2: 32%, Year 3: 19.2%, Year 4: 11.52%, Year 5: 11.52%, Year 6: 5.76%.</t>
  </si>
  <si>
    <t>Purchase Price $Million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</si>
</sst>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.0_);_(&quot;$&quot;* \(#,##0.0\);_(&quot;$&quot;* &quot;-&quot;??_);_(@_)"/>
    <numFmt numFmtId="166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Garamond"/>
      <family val="1"/>
    </font>
    <font>
      <i/>
      <sz val="12"/>
      <color theme="1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sz val="12"/>
      <color rgb="FF0000FF"/>
      <name val="Garamond"/>
      <family val="1"/>
    </font>
    <font>
      <b/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2" borderId="2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right" vertical="center"/>
    </xf>
    <xf numFmtId="0" fontId="4" fillId="0" borderId="4" xfId="0" applyFont="1" applyBorder="1"/>
    <xf numFmtId="0" fontId="4" fillId="2" borderId="4" xfId="0" applyFont="1" applyFill="1" applyBorder="1"/>
    <xf numFmtId="0" fontId="4" fillId="2" borderId="0" xfId="0" applyFont="1" applyFill="1"/>
    <xf numFmtId="41" fontId="4" fillId="2" borderId="0" xfId="0" applyNumberFormat="1" applyFont="1" applyFill="1" applyAlignment="1">
      <alignment horizontal="right" vertical="center"/>
    </xf>
    <xf numFmtId="41" fontId="6" fillId="0" borderId="4" xfId="0" applyNumberFormat="1" applyFont="1" applyBorder="1"/>
    <xf numFmtId="41" fontId="6" fillId="0" borderId="0" xfId="0" applyNumberFormat="1" applyFont="1"/>
    <xf numFmtId="164" fontId="4" fillId="2" borderId="0" xfId="0" applyNumberFormat="1" applyFont="1" applyFill="1" applyAlignment="1">
      <alignment horizontal="right" vertical="center"/>
    </xf>
    <xf numFmtId="164" fontId="6" fillId="0" borderId="4" xfId="0" applyNumberFormat="1" applyFont="1" applyBorder="1"/>
    <xf numFmtId="164" fontId="6" fillId="0" borderId="0" xfId="0" applyNumberFormat="1" applyFont="1"/>
    <xf numFmtId="44" fontId="4" fillId="2" borderId="0" xfId="0" applyNumberFormat="1" applyFont="1" applyFill="1" applyAlignment="1">
      <alignment horizontal="right" vertical="center"/>
    </xf>
    <xf numFmtId="44" fontId="4" fillId="2" borderId="0" xfId="0" quotePrefix="1" applyNumberFormat="1" applyFont="1" applyFill="1" applyAlignment="1">
      <alignment horizontal="right" vertical="center"/>
    </xf>
    <xf numFmtId="165" fontId="6" fillId="0" borderId="4" xfId="0" applyNumberFormat="1" applyFont="1" applyBorder="1"/>
    <xf numFmtId="165" fontId="6" fillId="0" borderId="0" xfId="0" applyNumberFormat="1" applyFont="1"/>
    <xf numFmtId="43" fontId="4" fillId="2" borderId="0" xfId="0" applyNumberFormat="1" applyFont="1" applyFill="1" applyAlignment="1">
      <alignment horizontal="right" vertical="center"/>
    </xf>
    <xf numFmtId="43" fontId="4" fillId="2" borderId="0" xfId="0" quotePrefix="1" applyNumberFormat="1" applyFont="1" applyFill="1" applyAlignment="1">
      <alignment horizontal="right" vertical="center"/>
    </xf>
    <xf numFmtId="43" fontId="6" fillId="0" borderId="4" xfId="0" applyNumberFormat="1" applyFont="1" applyBorder="1"/>
    <xf numFmtId="43" fontId="6" fillId="0" borderId="0" xfId="0" applyNumberFormat="1" applyFont="1"/>
    <xf numFmtId="165" fontId="4" fillId="0" borderId="0" xfId="0" applyNumberFormat="1" applyFont="1"/>
    <xf numFmtId="165" fontId="4" fillId="2" borderId="0" xfId="0" applyNumberFormat="1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right" vertical="center"/>
    </xf>
    <xf numFmtId="10" fontId="6" fillId="0" borderId="4" xfId="0" applyNumberFormat="1" applyFont="1" applyBorder="1"/>
    <xf numFmtId="10" fontId="6" fillId="0" borderId="0" xfId="0" applyNumberFormat="1" applyFont="1"/>
    <xf numFmtId="0" fontId="4" fillId="2" borderId="0" xfId="0" applyFont="1" applyFill="1" applyAlignment="1">
      <alignment horizontal="right" vertical="center"/>
    </xf>
    <xf numFmtId="0" fontId="9" fillId="2" borderId="4" xfId="0" applyFont="1" applyFill="1" applyBorder="1"/>
    <xf numFmtId="164" fontId="4" fillId="0" borderId="4" xfId="0" applyNumberFormat="1" applyFont="1" applyBorder="1"/>
    <xf numFmtId="164" fontId="4" fillId="0" borderId="0" xfId="0" applyNumberFormat="1" applyFont="1"/>
    <xf numFmtId="41" fontId="4" fillId="0" borderId="4" xfId="0" applyNumberFormat="1" applyFont="1" applyBorder="1"/>
    <xf numFmtId="41" fontId="4" fillId="0" borderId="0" xfId="0" applyNumberFormat="1" applyFont="1"/>
    <xf numFmtId="10" fontId="7" fillId="0" borderId="0" xfId="1" applyNumberFormat="1" applyFont="1" applyFill="1" applyBorder="1"/>
    <xf numFmtId="10" fontId="4" fillId="2" borderId="0" xfId="1" applyNumberFormat="1" applyFont="1" applyFill="1" applyBorder="1" applyAlignment="1">
      <alignment horizontal="right" vertical="center"/>
    </xf>
    <xf numFmtId="9" fontId="4" fillId="0" borderId="4" xfId="1" applyFont="1" applyBorder="1"/>
    <xf numFmtId="9" fontId="4" fillId="0" borderId="0" xfId="1" applyFont="1" applyBorder="1"/>
    <xf numFmtId="1" fontId="4" fillId="2" borderId="0" xfId="1" applyNumberFormat="1" applyFont="1" applyFill="1" applyBorder="1" applyAlignment="1">
      <alignment horizontal="right" vertical="center"/>
    </xf>
    <xf numFmtId="165" fontId="7" fillId="0" borderId="0" xfId="0" applyNumberFormat="1" applyFont="1"/>
    <xf numFmtId="165" fontId="4" fillId="0" borderId="4" xfId="0" applyNumberFormat="1" applyFont="1" applyBorder="1"/>
    <xf numFmtId="165" fontId="4" fillId="2" borderId="0" xfId="0" quotePrefix="1" applyNumberFormat="1" applyFont="1" applyFill="1" applyAlignment="1">
      <alignment horizontal="right" vertical="center"/>
    </xf>
    <xf numFmtId="165" fontId="7" fillId="0" borderId="4" xfId="0" applyNumberFormat="1" applyFont="1" applyBorder="1"/>
    <xf numFmtId="0" fontId="9" fillId="2" borderId="5" xfId="0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/>
    <xf numFmtId="0" fontId="4" fillId="0" borderId="3" xfId="0" applyFont="1" applyBorder="1"/>
    <xf numFmtId="166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1" fontId="7" fillId="0" borderId="0" xfId="0" applyNumberFormat="1" applyFont="1"/>
    <xf numFmtId="164" fontId="7" fillId="0" borderId="0" xfId="0" applyNumberFormat="1" applyFont="1"/>
    <xf numFmtId="165" fontId="8" fillId="0" borderId="0" xfId="0" applyNumberFormat="1" applyFont="1"/>
    <xf numFmtId="43" fontId="8" fillId="0" borderId="0" xfId="0" applyNumberFormat="1" applyFont="1"/>
    <xf numFmtId="10" fontId="4" fillId="0" borderId="0" xfId="0" applyNumberFormat="1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D523-BB90-1840-B3CB-7AEE10F4F817}">
  <dimension ref="C2:Z143"/>
  <sheetViews>
    <sheetView showGridLines="0" tabSelected="1" topLeftCell="A5" zoomScale="132" zoomScaleNormal="130" workbookViewId="0">
      <selection activeCell="F37" sqref="F37"/>
    </sheetView>
  </sheetViews>
  <sheetFormatPr baseColWidth="10" defaultColWidth="8.83203125" defaultRowHeight="15" x14ac:dyDescent="0.2"/>
  <cols>
    <col min="3" max="3" width="36.33203125" bestFit="1" customWidth="1"/>
    <col min="4" max="4" width="12.83203125" bestFit="1" customWidth="1"/>
    <col min="5" max="5" width="17.6640625" style="54" customWidth="1"/>
    <col min="6" max="6" width="10.6640625" bestFit="1" customWidth="1"/>
    <col min="7" max="7" width="4" customWidth="1"/>
    <col min="8" max="8" width="10.6640625" bestFit="1" customWidth="1"/>
    <col min="9" max="9" width="3.1640625" customWidth="1"/>
    <col min="10" max="10" width="12.33203125" customWidth="1"/>
    <col min="11" max="24" width="10.6640625" bestFit="1" customWidth="1"/>
    <col min="25" max="26" width="10.6640625" customWidth="1"/>
  </cols>
  <sheetData>
    <row r="2" spans="3:26" ht="19" x14ac:dyDescent="0.25">
      <c r="E2" s="62" t="s">
        <v>0</v>
      </c>
      <c r="F2" s="62"/>
      <c r="H2" s="1" t="s">
        <v>1</v>
      </c>
      <c r="J2" s="1" t="s">
        <v>2</v>
      </c>
    </row>
    <row r="3" spans="3:26" ht="19" x14ac:dyDescent="0.25">
      <c r="E3" s="63" t="s">
        <v>3</v>
      </c>
      <c r="F3" s="63"/>
      <c r="H3" s="2"/>
      <c r="J3" s="3" t="s">
        <v>4</v>
      </c>
    </row>
    <row r="4" spans="3:26" ht="19" x14ac:dyDescent="0.25">
      <c r="E4" s="4" t="s">
        <v>5</v>
      </c>
      <c r="F4" s="4" t="s">
        <v>6</v>
      </c>
      <c r="G4" s="5"/>
      <c r="H4" s="3" t="s">
        <v>6</v>
      </c>
      <c r="I4" s="5"/>
      <c r="J4" s="3" t="s">
        <v>7</v>
      </c>
    </row>
    <row r="5" spans="3:26" ht="16" x14ac:dyDescent="0.2"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3:26" ht="16" x14ac:dyDescent="0.2">
      <c r="C6" s="8" t="s">
        <v>8</v>
      </c>
      <c r="D6" s="9"/>
      <c r="E6" s="10"/>
      <c r="F6" s="9"/>
      <c r="G6" s="9"/>
      <c r="H6" s="9"/>
      <c r="I6" s="9"/>
      <c r="J6" s="9"/>
      <c r="K6" s="1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3:26" ht="16" x14ac:dyDescent="0.2">
      <c r="C7" s="12" t="s">
        <v>9</v>
      </c>
      <c r="D7" s="13"/>
      <c r="E7" s="14">
        <v>550</v>
      </c>
      <c r="F7" s="14">
        <v>550</v>
      </c>
      <c r="G7" s="14"/>
      <c r="H7" s="14">
        <v>800</v>
      </c>
      <c r="I7" s="14"/>
      <c r="J7" s="14">
        <v>250</v>
      </c>
      <c r="K7" s="15"/>
      <c r="L7" s="5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3:26" ht="16" x14ac:dyDescent="0.2">
      <c r="C8" s="12" t="s">
        <v>10</v>
      </c>
      <c r="D8" s="13"/>
      <c r="E8" s="17">
        <v>0.7</v>
      </c>
      <c r="F8" s="17">
        <v>0.6</v>
      </c>
      <c r="G8" s="17"/>
      <c r="H8" s="17">
        <v>0.92</v>
      </c>
      <c r="I8" s="17"/>
      <c r="J8" s="17">
        <v>0.68</v>
      </c>
      <c r="K8" s="18"/>
      <c r="L8" s="56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3:26" ht="16" x14ac:dyDescent="0.2">
      <c r="C9" s="12" t="s">
        <v>11</v>
      </c>
      <c r="D9" s="13"/>
      <c r="E9" s="20">
        <v>3.75</v>
      </c>
      <c r="F9" s="20">
        <v>3.75</v>
      </c>
      <c r="G9" s="20"/>
      <c r="H9" s="20">
        <v>0.7</v>
      </c>
      <c r="I9" s="20"/>
      <c r="J9" s="21" t="s">
        <v>12</v>
      </c>
      <c r="K9" s="22"/>
      <c r="L9" s="57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3:26" ht="16" x14ac:dyDescent="0.2">
      <c r="C10" s="12" t="s">
        <v>13</v>
      </c>
      <c r="D10" s="13"/>
      <c r="E10" s="24">
        <v>6150</v>
      </c>
      <c r="F10" s="24">
        <v>6500</v>
      </c>
      <c r="G10" s="24"/>
      <c r="H10" s="24">
        <v>10400</v>
      </c>
      <c r="I10" s="24"/>
      <c r="J10" s="25" t="s">
        <v>12</v>
      </c>
      <c r="K10" s="26"/>
      <c r="L10" s="58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3:26" ht="16" x14ac:dyDescent="0.2">
      <c r="C11" s="12"/>
      <c r="D11" s="13"/>
      <c r="E11" s="24"/>
      <c r="F11" s="24"/>
      <c r="G11" s="24"/>
      <c r="H11" s="24"/>
      <c r="I11" s="24"/>
      <c r="J11" s="24"/>
      <c r="K11" s="26"/>
      <c r="L11" s="28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3:26" ht="16" x14ac:dyDescent="0.2">
      <c r="C12" s="12" t="s">
        <v>14</v>
      </c>
      <c r="D12" s="13"/>
      <c r="E12" s="29">
        <v>14.5</v>
      </c>
      <c r="F12" s="29">
        <v>10</v>
      </c>
      <c r="G12" s="29"/>
      <c r="H12" s="29">
        <v>50</v>
      </c>
      <c r="I12" s="29"/>
      <c r="J12" s="29">
        <v>75</v>
      </c>
      <c r="K12" s="22"/>
      <c r="L12" s="57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3:26" ht="16" x14ac:dyDescent="0.2">
      <c r="C13" s="12" t="s">
        <v>15</v>
      </c>
      <c r="D13" s="13"/>
      <c r="E13" s="29">
        <v>2.75</v>
      </c>
      <c r="F13" s="29">
        <v>1</v>
      </c>
      <c r="G13" s="29"/>
      <c r="H13" s="29">
        <v>2</v>
      </c>
      <c r="I13" s="29"/>
      <c r="J13" s="29" t="s">
        <v>12</v>
      </c>
      <c r="K13" s="22"/>
      <c r="L13" s="59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3:26" ht="16" x14ac:dyDescent="0.2">
      <c r="C14" s="12" t="s">
        <v>16</v>
      </c>
      <c r="D14" s="13"/>
      <c r="E14" s="30">
        <v>0.03</v>
      </c>
      <c r="F14" s="30">
        <v>0.03</v>
      </c>
      <c r="G14" s="30"/>
      <c r="H14" s="30">
        <v>0.03</v>
      </c>
      <c r="I14" s="30"/>
      <c r="J14" s="30">
        <v>0.03</v>
      </c>
      <c r="K14" s="31"/>
      <c r="L14" s="6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3:26" ht="16" x14ac:dyDescent="0.2">
      <c r="C15" s="12"/>
      <c r="D15" s="13"/>
      <c r="E15" s="33"/>
      <c r="F15" s="33"/>
      <c r="G15" s="33"/>
      <c r="H15" s="33"/>
      <c r="I15" s="33"/>
      <c r="J15" s="33"/>
      <c r="K15" s="1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3:26" ht="16" x14ac:dyDescent="0.2">
      <c r="C16" s="34" t="s">
        <v>17</v>
      </c>
      <c r="D16" s="13"/>
      <c r="E16" s="33"/>
      <c r="F16" s="33"/>
      <c r="G16" s="33"/>
      <c r="H16" s="33"/>
      <c r="I16" s="33"/>
      <c r="J16" s="33"/>
      <c r="K16" s="11"/>
      <c r="L16" s="5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3:26" ht="16" x14ac:dyDescent="0.2">
      <c r="C17" s="12" t="s">
        <v>18</v>
      </c>
      <c r="D17" s="13"/>
      <c r="E17" s="17">
        <v>0.6</v>
      </c>
      <c r="F17" s="17">
        <v>0.6</v>
      </c>
      <c r="G17" s="17"/>
      <c r="H17" s="17">
        <v>0.6</v>
      </c>
      <c r="I17" s="17"/>
      <c r="J17" s="17">
        <v>0.6</v>
      </c>
      <c r="K17" s="18"/>
      <c r="L17" s="56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3:26" ht="16" x14ac:dyDescent="0.2">
      <c r="C18" s="12" t="s">
        <v>19</v>
      </c>
      <c r="D18" s="13"/>
      <c r="E18" s="17">
        <v>0.08</v>
      </c>
      <c r="F18" s="17">
        <v>0.08</v>
      </c>
      <c r="G18" s="17"/>
      <c r="H18" s="17">
        <v>0.08</v>
      </c>
      <c r="I18" s="17"/>
      <c r="J18" s="17">
        <v>0.08</v>
      </c>
      <c r="K18" s="18"/>
      <c r="L18" s="56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3:26" ht="16" x14ac:dyDescent="0.2">
      <c r="C19" s="12" t="s">
        <v>20</v>
      </c>
      <c r="D19" s="13"/>
      <c r="E19" s="17">
        <f>1-E17</f>
        <v>0.4</v>
      </c>
      <c r="F19" s="17">
        <f>1-F17</f>
        <v>0.4</v>
      </c>
      <c r="G19" s="17"/>
      <c r="H19" s="17">
        <f>1-H17</f>
        <v>0.4</v>
      </c>
      <c r="I19" s="17"/>
      <c r="J19" s="17">
        <f>1-J17</f>
        <v>0.4</v>
      </c>
      <c r="K19" s="35"/>
      <c r="L19" s="5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3:26" ht="16" x14ac:dyDescent="0.2">
      <c r="C20" s="12" t="s">
        <v>21</v>
      </c>
      <c r="D20" s="13"/>
      <c r="E20" s="17">
        <v>0.12</v>
      </c>
      <c r="F20" s="17">
        <v>0.12</v>
      </c>
      <c r="G20" s="17"/>
      <c r="H20" s="17">
        <v>0.12</v>
      </c>
      <c r="I20" s="17"/>
      <c r="J20" s="17">
        <v>0.12</v>
      </c>
      <c r="K20" s="35"/>
      <c r="L20" s="60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3:26" ht="16" x14ac:dyDescent="0.2">
      <c r="C21" s="12"/>
      <c r="D21" s="13"/>
      <c r="E21" s="33"/>
      <c r="F21" s="33"/>
      <c r="G21" s="33"/>
      <c r="H21" s="33"/>
      <c r="I21" s="33"/>
      <c r="J21" s="33"/>
      <c r="K21" s="11"/>
      <c r="L21" s="6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3:26" ht="16" x14ac:dyDescent="0.2">
      <c r="C22" s="34" t="s">
        <v>22</v>
      </c>
      <c r="D22" s="13"/>
      <c r="E22" s="33"/>
      <c r="F22" s="33"/>
      <c r="G22" s="33"/>
      <c r="H22" s="33"/>
      <c r="I22" s="33"/>
      <c r="J22" s="33"/>
      <c r="K22" s="11"/>
      <c r="L22" s="5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3:26" ht="16" x14ac:dyDescent="0.2">
      <c r="C23" s="12" t="s">
        <v>23</v>
      </c>
      <c r="D23" s="13"/>
      <c r="E23" s="17">
        <v>0.4</v>
      </c>
      <c r="F23" s="17">
        <v>0.4</v>
      </c>
      <c r="G23" s="17"/>
      <c r="H23" s="17">
        <v>0.4</v>
      </c>
      <c r="I23" s="17"/>
      <c r="J23" s="17">
        <v>0.4</v>
      </c>
      <c r="K23" s="35"/>
      <c r="L23" s="55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3:26" ht="16" x14ac:dyDescent="0.2">
      <c r="C24" s="12" t="s">
        <v>24</v>
      </c>
      <c r="D24" s="13"/>
      <c r="E24" s="14">
        <v>20</v>
      </c>
      <c r="F24" s="14">
        <v>15</v>
      </c>
      <c r="G24" s="14"/>
      <c r="H24" s="14">
        <v>40</v>
      </c>
      <c r="I24" s="14"/>
      <c r="J24" s="14">
        <v>30</v>
      </c>
      <c r="K24" s="37"/>
      <c r="L24" s="55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3:26" ht="16" x14ac:dyDescent="0.2">
      <c r="C25" s="12" t="s">
        <v>25</v>
      </c>
      <c r="D25" s="13"/>
      <c r="E25" s="14">
        <v>5</v>
      </c>
      <c r="F25" s="14">
        <v>5</v>
      </c>
      <c r="G25" s="14"/>
      <c r="H25" s="14">
        <v>5</v>
      </c>
      <c r="I25" s="14"/>
      <c r="J25" s="14">
        <v>5</v>
      </c>
      <c r="K25" s="37"/>
      <c r="L25" s="39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3:26" ht="16" x14ac:dyDescent="0.2">
      <c r="C26" s="12"/>
      <c r="D26" s="13"/>
      <c r="E26" s="40"/>
      <c r="F26" s="40"/>
      <c r="G26" s="40"/>
      <c r="H26" s="40"/>
      <c r="I26" s="40"/>
      <c r="J26" s="40"/>
      <c r="K26" s="41"/>
      <c r="L26" s="39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3:26" ht="16" x14ac:dyDescent="0.2">
      <c r="C27" s="12" t="s">
        <v>26</v>
      </c>
      <c r="D27" s="13"/>
      <c r="E27" s="43">
        <v>720</v>
      </c>
      <c r="F27" s="43">
        <v>875</v>
      </c>
      <c r="G27" s="43"/>
      <c r="H27" s="43">
        <v>0</v>
      </c>
      <c r="I27" s="43"/>
      <c r="J27" s="43">
        <v>0</v>
      </c>
      <c r="K27" s="41"/>
      <c r="L27" s="60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3:26" ht="16" x14ac:dyDescent="0.2">
      <c r="C28" s="12" t="s">
        <v>27</v>
      </c>
      <c r="D28" s="13"/>
      <c r="E28" s="43">
        <v>20</v>
      </c>
      <c r="F28" s="43">
        <v>20</v>
      </c>
      <c r="G28" s="43"/>
      <c r="H28" s="43">
        <v>20</v>
      </c>
      <c r="I28" s="43"/>
      <c r="J28" s="43">
        <v>20</v>
      </c>
      <c r="K28" s="41"/>
      <c r="L28" s="44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3:26" ht="16" x14ac:dyDescent="0.2">
      <c r="C29" s="12"/>
      <c r="D29" s="13"/>
      <c r="E29" s="40"/>
      <c r="F29" s="40"/>
      <c r="G29" s="40"/>
      <c r="H29" s="40"/>
      <c r="I29" s="40"/>
      <c r="J29" s="40"/>
      <c r="K29" s="41"/>
      <c r="L29" s="44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3:26" ht="16" x14ac:dyDescent="0.2">
      <c r="C30" s="34" t="s">
        <v>28</v>
      </c>
      <c r="D30" s="13"/>
      <c r="E30" s="33"/>
      <c r="F30" s="33"/>
      <c r="G30" s="33"/>
      <c r="H30" s="33"/>
      <c r="I30" s="33"/>
      <c r="J30" s="33"/>
      <c r="K30" s="11"/>
      <c r="L30" s="44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3:26" ht="16" x14ac:dyDescent="0.2">
      <c r="C31" s="12" t="s">
        <v>29</v>
      </c>
      <c r="D31" s="13"/>
      <c r="E31" s="29">
        <v>1150</v>
      </c>
      <c r="F31" s="29">
        <v>0</v>
      </c>
      <c r="G31" s="29"/>
      <c r="H31" s="29">
        <v>0</v>
      </c>
      <c r="I31" s="29"/>
      <c r="J31" s="29">
        <v>5250</v>
      </c>
      <c r="K31" s="45"/>
      <c r="L31" s="44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3:26" ht="16" x14ac:dyDescent="0.2">
      <c r="C32" s="12" t="s">
        <v>30</v>
      </c>
      <c r="D32" s="13"/>
      <c r="E32" s="29">
        <v>100</v>
      </c>
      <c r="F32" s="29">
        <v>0</v>
      </c>
      <c r="G32" s="29"/>
      <c r="H32" s="29">
        <v>0</v>
      </c>
      <c r="I32" s="29"/>
      <c r="J32" s="46" t="s">
        <v>12</v>
      </c>
      <c r="K32" s="22"/>
      <c r="L32" s="61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3:26" ht="16" x14ac:dyDescent="0.2">
      <c r="C33" s="12" t="s">
        <v>31</v>
      </c>
      <c r="D33" s="13"/>
      <c r="E33" s="29">
        <v>0</v>
      </c>
      <c r="F33" s="29">
        <v>0</v>
      </c>
      <c r="G33" s="29"/>
      <c r="H33" s="29">
        <v>0</v>
      </c>
      <c r="I33" s="29"/>
      <c r="J33" s="46" t="s">
        <v>12</v>
      </c>
      <c r="K33" s="22"/>
      <c r="L33" s="28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3:26" ht="16" x14ac:dyDescent="0.2">
      <c r="C34" s="12" t="s">
        <v>32</v>
      </c>
      <c r="D34" s="13"/>
      <c r="E34" s="29" t="s">
        <v>33</v>
      </c>
      <c r="F34" s="29">
        <v>0</v>
      </c>
      <c r="G34" s="29"/>
      <c r="H34" s="29">
        <v>0</v>
      </c>
      <c r="I34" s="29"/>
      <c r="J34" s="29" t="s">
        <v>33</v>
      </c>
      <c r="K34" s="47"/>
      <c r="L34" s="61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23"/>
    </row>
    <row r="35" spans="3:26" ht="16" x14ac:dyDescent="0.2">
      <c r="C35" s="12" t="s">
        <v>34</v>
      </c>
      <c r="D35" s="13"/>
      <c r="E35" s="33">
        <v>24</v>
      </c>
      <c r="F35" s="33">
        <v>0</v>
      </c>
      <c r="G35" s="33"/>
      <c r="H35" s="33">
        <v>0</v>
      </c>
      <c r="I35" s="33"/>
      <c r="J35" s="33">
        <v>24</v>
      </c>
      <c r="K35" s="11"/>
      <c r="L35" s="2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3:26" ht="16" x14ac:dyDescent="0.2">
      <c r="C36" s="48" t="s">
        <v>36</v>
      </c>
      <c r="D36" s="49"/>
      <c r="E36" s="50"/>
      <c r="F36" s="51">
        <v>450</v>
      </c>
      <c r="G36" s="51"/>
      <c r="H36" s="51">
        <v>3000</v>
      </c>
      <c r="I36" s="51"/>
      <c r="J36" s="51"/>
      <c r="K36" s="45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3"/>
    </row>
    <row r="37" spans="3:26" ht="16" x14ac:dyDescent="0.2">
      <c r="C37" s="6"/>
      <c r="D37" s="52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3:26" ht="16" x14ac:dyDescent="0.2">
      <c r="C38" s="6" t="s">
        <v>35</v>
      </c>
      <c r="D38" s="6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3:26" ht="16" x14ac:dyDescent="0.2"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3:26" ht="16" x14ac:dyDescent="0.2"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3:26" ht="16" x14ac:dyDescent="0.2">
      <c r="C41" s="6"/>
      <c r="D41" s="6"/>
      <c r="E41" s="53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3:26" ht="16" x14ac:dyDescent="0.2"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3:26" ht="16" x14ac:dyDescent="0.2"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3:26" ht="16" x14ac:dyDescent="0.2"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3:26" ht="16" x14ac:dyDescent="0.2"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3:26" ht="16" x14ac:dyDescent="0.2"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3:26" ht="16" x14ac:dyDescent="0.2"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3:26" ht="16" x14ac:dyDescent="0.2"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3:26" ht="16" x14ac:dyDescent="0.2"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3:26" ht="16" x14ac:dyDescent="0.2"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3:26" ht="16" x14ac:dyDescent="0.2"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3:26" ht="16" x14ac:dyDescent="0.2"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3:26" ht="16" x14ac:dyDescent="0.2"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3:26" ht="16" x14ac:dyDescent="0.2"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3:26" ht="16" x14ac:dyDescent="0.2">
      <c r="C55" s="6"/>
      <c r="D55" s="6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3:26" ht="16" x14ac:dyDescent="0.2"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3:26" ht="16" x14ac:dyDescent="0.2">
      <c r="C57" s="6"/>
      <c r="D57" s="6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3:26" ht="16" x14ac:dyDescent="0.2"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3:26" ht="16" x14ac:dyDescent="0.2">
      <c r="C59" s="6"/>
      <c r="D59" s="6"/>
      <c r="E59" s="7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3:26" ht="16" x14ac:dyDescent="0.2"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3:26" ht="16" x14ac:dyDescent="0.2">
      <c r="C61" s="6"/>
      <c r="D61" s="6"/>
      <c r="E61" s="7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3:26" ht="16" x14ac:dyDescent="0.2"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3:26" ht="16" x14ac:dyDescent="0.2">
      <c r="C63" s="6"/>
      <c r="D63" s="6"/>
      <c r="E63" s="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3:26" ht="16" x14ac:dyDescent="0.2"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3:26" ht="16" x14ac:dyDescent="0.2">
      <c r="C65" s="6"/>
      <c r="D65" s="6"/>
      <c r="E65" s="7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3:26" ht="16" x14ac:dyDescent="0.2"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3:26" ht="16" x14ac:dyDescent="0.2">
      <c r="C67" s="6"/>
      <c r="D67" s="6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3:26" ht="16" x14ac:dyDescent="0.2"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3:26" ht="16" x14ac:dyDescent="0.2">
      <c r="C69" s="6"/>
      <c r="D69" s="6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3:26" ht="16" x14ac:dyDescent="0.2"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3:26" ht="16" x14ac:dyDescent="0.2">
      <c r="C71" s="6"/>
      <c r="D71" s="6"/>
      <c r="E71" s="7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3:26" ht="16" x14ac:dyDescent="0.2"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3:26" ht="16" x14ac:dyDescent="0.2">
      <c r="C73" s="6"/>
      <c r="D73" s="6"/>
      <c r="E73" s="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3:26" ht="16" x14ac:dyDescent="0.2"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3:26" ht="16" x14ac:dyDescent="0.2">
      <c r="C75" s="6"/>
      <c r="D75" s="6"/>
      <c r="E75" s="7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3:26" ht="16" x14ac:dyDescent="0.2"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3:26" ht="16" x14ac:dyDescent="0.2">
      <c r="C77" s="6"/>
      <c r="D77" s="6"/>
      <c r="E77" s="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3:26" ht="16" x14ac:dyDescent="0.2"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3:26" ht="16" x14ac:dyDescent="0.2">
      <c r="C79" s="6"/>
      <c r="D79" s="6"/>
      <c r="E79" s="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3:26" ht="16" x14ac:dyDescent="0.2"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3:26" ht="16" x14ac:dyDescent="0.2">
      <c r="C81" s="6"/>
      <c r="D81" s="6"/>
      <c r="E81" s="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3:26" ht="16" x14ac:dyDescent="0.2"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3:26" ht="16" x14ac:dyDescent="0.2">
      <c r="C83" s="6"/>
      <c r="D83" s="6"/>
      <c r="E83" s="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3:26" ht="16" x14ac:dyDescent="0.2"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3:26" ht="16" x14ac:dyDescent="0.2">
      <c r="C85" s="6"/>
      <c r="D85" s="6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3:26" ht="16" x14ac:dyDescent="0.2"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3:26" ht="16" x14ac:dyDescent="0.2">
      <c r="C87" s="6"/>
      <c r="D87" s="6"/>
      <c r="E87" s="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3:26" ht="16" x14ac:dyDescent="0.2"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3:26" ht="16" x14ac:dyDescent="0.2">
      <c r="C89" s="6"/>
      <c r="D89" s="6"/>
      <c r="E89" s="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3:26" ht="16" x14ac:dyDescent="0.2"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3:26" ht="16" x14ac:dyDescent="0.2">
      <c r="C91" s="6"/>
      <c r="D91" s="6"/>
      <c r="E91" s="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3:26" ht="16" x14ac:dyDescent="0.2"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3:26" ht="16" x14ac:dyDescent="0.2">
      <c r="C93" s="6"/>
      <c r="D93" s="6"/>
      <c r="E93" s="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3:26" ht="16" x14ac:dyDescent="0.2"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3:26" ht="16" x14ac:dyDescent="0.2">
      <c r="C95" s="6"/>
      <c r="D95" s="6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3:26" ht="16" x14ac:dyDescent="0.2"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3:26" ht="16" x14ac:dyDescent="0.2">
      <c r="C97" s="6"/>
      <c r="D97" s="6"/>
      <c r="E97" s="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3:26" ht="16" x14ac:dyDescent="0.2"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3:26" ht="16" x14ac:dyDescent="0.2">
      <c r="C99" s="6"/>
      <c r="D99" s="6"/>
      <c r="E99" s="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3:26" ht="16" x14ac:dyDescent="0.2"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3:26" ht="16" x14ac:dyDescent="0.2">
      <c r="C101" s="6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3:26" ht="16" x14ac:dyDescent="0.2"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3:26" ht="16" x14ac:dyDescent="0.2">
      <c r="C103" s="6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3:26" ht="16" x14ac:dyDescent="0.2">
      <c r="C104" s="6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3:26" ht="16" x14ac:dyDescent="0.2">
      <c r="C105" s="6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3:26" ht="16" x14ac:dyDescent="0.2">
      <c r="C106" s="6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3:26" ht="16" x14ac:dyDescent="0.2">
      <c r="C107" s="6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3:26" ht="16" x14ac:dyDescent="0.2"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3:26" ht="16" x14ac:dyDescent="0.2"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3:26" ht="16" x14ac:dyDescent="0.2"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3:26" ht="16" x14ac:dyDescent="0.2"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3:26" ht="16" x14ac:dyDescent="0.2"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3:26" ht="16" x14ac:dyDescent="0.2"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3:26" ht="16" x14ac:dyDescent="0.2"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3:26" ht="16" x14ac:dyDescent="0.2">
      <c r="C115" s="6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3:26" ht="16" x14ac:dyDescent="0.2"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3:26" ht="16" x14ac:dyDescent="0.2"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3:26" ht="16" x14ac:dyDescent="0.2"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3:26" ht="16" x14ac:dyDescent="0.2"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3:26" ht="16" x14ac:dyDescent="0.2"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3:26" ht="16" x14ac:dyDescent="0.2"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3:26" ht="16" x14ac:dyDescent="0.2"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3:26" ht="16" x14ac:dyDescent="0.2"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3:26" ht="16" x14ac:dyDescent="0.2"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3:26" ht="16" x14ac:dyDescent="0.2"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3:26" ht="16" x14ac:dyDescent="0.2"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3:26" ht="16" x14ac:dyDescent="0.2"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3:26" ht="16" x14ac:dyDescent="0.2"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3:26" ht="16" x14ac:dyDescent="0.2"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3:26" ht="16" x14ac:dyDescent="0.2"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3:26" ht="16" x14ac:dyDescent="0.2"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3:26" ht="16" x14ac:dyDescent="0.2"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3:26" ht="16" x14ac:dyDescent="0.2"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3:26" ht="16" x14ac:dyDescent="0.2"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3:26" ht="16" x14ac:dyDescent="0.2"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3:26" ht="16" x14ac:dyDescent="0.2"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3:26" ht="16" x14ac:dyDescent="0.2"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3:26" ht="16" x14ac:dyDescent="0.2"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3:26" ht="16" x14ac:dyDescent="0.2"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3:26" ht="16" x14ac:dyDescent="0.2"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3:26" ht="16" x14ac:dyDescent="0.2"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3:26" ht="16" x14ac:dyDescent="0.2"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3:26" ht="16" x14ac:dyDescent="0.2"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</sheetData>
  <mergeCells count="2">
    <mergeCell ref="E2:F2"/>
    <mergeCell ref="E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NAPE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Venkataraman, Kumar</dc:creator>
  <cp:lastModifiedBy>Bullock, Bruce</cp:lastModifiedBy>
  <dcterms:created xsi:type="dcterms:W3CDTF">2025-11-07T00:47:02Z</dcterms:created>
  <dcterms:modified xsi:type="dcterms:W3CDTF">2025-11-07T19:47:47Z</dcterms:modified>
</cp:coreProperties>
</file>